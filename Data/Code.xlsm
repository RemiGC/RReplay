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ev\RedReplay\RedReplay\"/>
    </mc:Choice>
  </mc:AlternateContent>
  <bookViews>
    <workbookView xWindow="0" yWindow="0" windowWidth="19200" windowHeight="11160"/>
  </bookViews>
  <sheets>
    <sheet name="NewVersion" sheetId="4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4" l="1"/>
  <c r="C30" i="4"/>
  <c r="C27" i="4"/>
  <c r="C22" i="4"/>
  <c r="C18" i="4"/>
  <c r="C14" i="4"/>
  <c r="C9" i="4"/>
  <c r="C5" i="4"/>
  <c r="C13" i="4"/>
  <c r="C33" i="4"/>
  <c r="C29" i="4"/>
  <c r="C25" i="4"/>
  <c r="C21" i="4"/>
  <c r="C17" i="4"/>
  <c r="C12" i="4"/>
  <c r="C8" i="4"/>
  <c r="C4" i="4"/>
  <c r="C36" i="4"/>
  <c r="C32" i="4"/>
  <c r="C28" i="4"/>
  <c r="C24" i="4"/>
  <c r="C20" i="4"/>
  <c r="C16" i="4"/>
  <c r="C11" i="4"/>
  <c r="C7" i="4"/>
  <c r="C3" i="4"/>
  <c r="C35" i="4"/>
  <c r="C31" i="4"/>
  <c r="C26" i="4"/>
  <c r="C23" i="4"/>
  <c r="C19" i="4"/>
  <c r="C15" i="4"/>
  <c r="C10" i="4"/>
  <c r="C6" i="4"/>
  <c r="C2" i="4"/>
  <c r="D2" i="4" l="1"/>
  <c r="E2" i="4"/>
  <c r="D6" i="4"/>
  <c r="E6" i="4"/>
  <c r="D10" i="4"/>
  <c r="E10" i="4"/>
  <c r="D15" i="4"/>
  <c r="E15" i="4"/>
  <c r="E19" i="4"/>
  <c r="D19" i="4"/>
  <c r="F19" i="4" s="1"/>
  <c r="G19" i="4" s="1"/>
  <c r="D23" i="4"/>
  <c r="E23" i="4"/>
  <c r="D26" i="4"/>
  <c r="E26" i="4"/>
  <c r="D31" i="4"/>
  <c r="E31" i="4"/>
  <c r="D35" i="4"/>
  <c r="E35" i="4"/>
  <c r="D3" i="4"/>
  <c r="E3" i="4"/>
  <c r="D7" i="4"/>
  <c r="E7" i="4"/>
  <c r="E11" i="4"/>
  <c r="D11" i="4"/>
  <c r="F11" i="4" s="1"/>
  <c r="G11" i="4" s="1"/>
  <c r="D16" i="4"/>
  <c r="E16" i="4"/>
  <c r="D20" i="4"/>
  <c r="E20" i="4"/>
  <c r="D24" i="4"/>
  <c r="E24" i="4"/>
  <c r="E28" i="4"/>
  <c r="D28" i="4"/>
  <c r="F28" i="4" s="1"/>
  <c r="G28" i="4" s="1"/>
  <c r="D32" i="4"/>
  <c r="E32" i="4"/>
  <c r="D36" i="4"/>
  <c r="E36" i="4"/>
  <c r="D4" i="4"/>
  <c r="E4" i="4"/>
  <c r="D8" i="4"/>
  <c r="E8" i="4"/>
  <c r="D12" i="4"/>
  <c r="E12" i="4"/>
  <c r="D17" i="4"/>
  <c r="E17" i="4"/>
  <c r="D21" i="4"/>
  <c r="E21" i="4"/>
  <c r="D25" i="4"/>
  <c r="E25" i="4"/>
  <c r="D29" i="4"/>
  <c r="E29" i="4"/>
  <c r="D33" i="4"/>
  <c r="E33" i="4"/>
  <c r="D13" i="4"/>
  <c r="E13" i="4"/>
  <c r="D5" i="4"/>
  <c r="E5" i="4"/>
  <c r="D9" i="4"/>
  <c r="E9" i="4"/>
  <c r="E14" i="4"/>
  <c r="D14" i="4"/>
  <c r="F14" i="4" s="1"/>
  <c r="G14" i="4" s="1"/>
  <c r="D18" i="4"/>
  <c r="E18" i="4"/>
  <c r="E22" i="4"/>
  <c r="D22" i="4"/>
  <c r="F22" i="4" s="1"/>
  <c r="G22" i="4" s="1"/>
  <c r="D27" i="4"/>
  <c r="E27" i="4"/>
  <c r="E30" i="4"/>
  <c r="D30" i="4"/>
  <c r="F30" i="4" s="1"/>
  <c r="G30" i="4" s="1"/>
  <c r="D34" i="4"/>
  <c r="E34" i="4"/>
  <c r="H33" i="4" l="1"/>
  <c r="I33" i="4"/>
  <c r="H20" i="4"/>
  <c r="I20" i="4"/>
  <c r="H3" i="4"/>
  <c r="I3" i="4"/>
  <c r="I23" i="4"/>
  <c r="H23" i="4"/>
  <c r="H30" i="4"/>
  <c r="I30" i="4"/>
  <c r="H11" i="4"/>
  <c r="I11" i="4"/>
  <c r="H5" i="4"/>
  <c r="I5" i="4"/>
  <c r="H25" i="4"/>
  <c r="I25" i="4"/>
  <c r="H17" i="4"/>
  <c r="I17" i="4"/>
  <c r="H8" i="4"/>
  <c r="I8" i="4"/>
  <c r="H36" i="4"/>
  <c r="I36" i="4"/>
  <c r="I31" i="4"/>
  <c r="H31" i="4"/>
  <c r="H15" i="4"/>
  <c r="I15" i="4"/>
  <c r="H6" i="4"/>
  <c r="I6" i="4"/>
  <c r="I22" i="4"/>
  <c r="H22" i="4"/>
  <c r="H14" i="4"/>
  <c r="I14" i="4"/>
  <c r="F5" i="4"/>
  <c r="G5" i="4" s="1"/>
  <c r="F33" i="4"/>
  <c r="G33" i="4" s="1"/>
  <c r="F25" i="4"/>
  <c r="G25" i="4" s="1"/>
  <c r="F17" i="4"/>
  <c r="G17" i="4" s="1"/>
  <c r="F8" i="4"/>
  <c r="G8" i="4" s="1"/>
  <c r="F36" i="4"/>
  <c r="G36" i="4" s="1"/>
  <c r="H28" i="4"/>
  <c r="I28" i="4"/>
  <c r="F20" i="4"/>
  <c r="G20" i="4" s="1"/>
  <c r="F3" i="4"/>
  <c r="G3" i="4" s="1"/>
  <c r="F31" i="4"/>
  <c r="G31" i="4" s="1"/>
  <c r="F23" i="4"/>
  <c r="G23" i="4" s="1"/>
  <c r="F15" i="4"/>
  <c r="G15" i="4" s="1"/>
  <c r="F6" i="4"/>
  <c r="G6" i="4" s="1"/>
  <c r="H34" i="4"/>
  <c r="I34" i="4"/>
  <c r="H27" i="4"/>
  <c r="I27" i="4"/>
  <c r="H18" i="4"/>
  <c r="I18" i="4"/>
  <c r="H9" i="4"/>
  <c r="I9" i="4"/>
  <c r="H13" i="4"/>
  <c r="I13" i="4"/>
  <c r="I29" i="4"/>
  <c r="H29" i="4"/>
  <c r="H21" i="4"/>
  <c r="I21" i="4"/>
  <c r="H12" i="4"/>
  <c r="I12" i="4"/>
  <c r="H4" i="4"/>
  <c r="I4" i="4"/>
  <c r="H32" i="4"/>
  <c r="I32" i="4"/>
  <c r="I24" i="4"/>
  <c r="H24" i="4"/>
  <c r="H16" i="4"/>
  <c r="I16" i="4"/>
  <c r="H7" i="4"/>
  <c r="I7" i="4"/>
  <c r="I35" i="4"/>
  <c r="H35" i="4"/>
  <c r="I26" i="4"/>
  <c r="H26" i="4"/>
  <c r="H10" i="4"/>
  <c r="I10" i="4"/>
  <c r="H2" i="4"/>
  <c r="I2" i="4"/>
  <c r="F34" i="4"/>
  <c r="G34" i="4" s="1"/>
  <c r="F27" i="4"/>
  <c r="G27" i="4" s="1"/>
  <c r="F18" i="4"/>
  <c r="G18" i="4" s="1"/>
  <c r="F9" i="4"/>
  <c r="G9" i="4" s="1"/>
  <c r="F13" i="4"/>
  <c r="G13" i="4" s="1"/>
  <c r="F29" i="4"/>
  <c r="G29" i="4" s="1"/>
  <c r="F21" i="4"/>
  <c r="G21" i="4" s="1"/>
  <c r="F12" i="4"/>
  <c r="G12" i="4" s="1"/>
  <c r="F4" i="4"/>
  <c r="G4" i="4" s="1"/>
  <c r="F32" i="4"/>
  <c r="G32" i="4" s="1"/>
  <c r="F24" i="4"/>
  <c r="G24" i="4" s="1"/>
  <c r="F16" i="4"/>
  <c r="G16" i="4" s="1"/>
  <c r="F7" i="4"/>
  <c r="G7" i="4" s="1"/>
  <c r="F35" i="4"/>
  <c r="G35" i="4" s="1"/>
  <c r="F26" i="4"/>
  <c r="G26" i="4" s="1"/>
  <c r="H19" i="4"/>
  <c r="I19" i="4"/>
  <c r="F10" i="4"/>
  <c r="G10" i="4" s="1"/>
  <c r="F2" i="4"/>
  <c r="G2" i="4" s="1"/>
</calcChain>
</file>

<file path=xl/sharedStrings.xml><?xml version="1.0" encoding="utf-8"?>
<sst xmlns="http://schemas.openxmlformats.org/spreadsheetml/2006/main" count="70" uniqueCount="69">
  <si>
    <t xml:space="preserve"> </t>
  </si>
  <si>
    <t>XPgAZrA=</t>
  </si>
  <si>
    <t>BLU_ALL_ALL_ALL</t>
  </si>
  <si>
    <t>BPgAUpA=</t>
  </si>
  <si>
    <t>BLU_US_ALL_ALL</t>
  </si>
  <si>
    <t>DPgAZrA=</t>
  </si>
  <si>
    <t>BLU_UK_ALL_ALL</t>
  </si>
  <si>
    <t>FPgCQBhs</t>
  </si>
  <si>
    <t>BLU_FR_ALL_ALL</t>
  </si>
  <si>
    <t>HPgCWtYY</t>
  </si>
  <si>
    <t>BLU_RFA_ALL_ALL</t>
  </si>
  <si>
    <t>JPgCQ5mA</t>
  </si>
  <si>
    <t>BLU_CAN_ALL_ALL</t>
  </si>
  <si>
    <t>LPgAUwA=</t>
  </si>
  <si>
    <t>BLU_DAN_ALL_ALL</t>
  </si>
  <si>
    <t>NPgCcde0</t>
  </si>
  <si>
    <t>BLU_SWE_ALL_ALL</t>
  </si>
  <si>
    <t>PPgCccqE</t>
  </si>
  <si>
    <t>BLU_NOR_ALL_ALL</t>
  </si>
  <si>
    <t>RPgAaGA=</t>
  </si>
  <si>
    <t>BLU_ANZ_ALL_ALL</t>
  </si>
  <si>
    <t>TPgARUA=</t>
  </si>
  <si>
    <t>BLU_JAP_ALL_ALL</t>
  </si>
  <si>
    <t>VPgCW0Ms</t>
  </si>
  <si>
    <t>BLU_ROK_ALL_ALL</t>
  </si>
  <si>
    <t>WHgCQBhQ</t>
  </si>
  <si>
    <t>BLU_EURO_ALL_ALL</t>
  </si>
  <si>
    <t>WPgCcc5g</t>
  </si>
  <si>
    <t>BLU_SCAND_ALL_ALL</t>
  </si>
  <si>
    <t>WXgAZrA=</t>
  </si>
  <si>
    <t>BLU_CMW_ALL_ALL</t>
  </si>
  <si>
    <t>WfgCW0Ms</t>
  </si>
  <si>
    <t>BLU_BLUEDRAG_ALL_ALL</t>
  </si>
  <si>
    <t>W3gCWtYY</t>
  </si>
  <si>
    <t>BLU_LANDJUT_ALL_ALL</t>
  </si>
  <si>
    <t>XHgCQ5ic</t>
  </si>
  <si>
    <t>BLU_NORAD_ALL_ALL</t>
  </si>
  <si>
    <t xml:space="preserve">bits 0 - 7 </t>
  </si>
  <si>
    <t>bits 8 - 15</t>
  </si>
  <si>
    <t>bits 1 - 8</t>
  </si>
  <si>
    <t>countries</t>
  </si>
  <si>
    <t>spez</t>
  </si>
  <si>
    <t>era</t>
  </si>
  <si>
    <t>tPgAR3A=</t>
  </si>
  <si>
    <t>RED_ALL_ALL_ALL</t>
  </si>
  <si>
    <t>hPgASQA=</t>
  </si>
  <si>
    <t>RED_RFA_ALL_ALL</t>
  </si>
  <si>
    <t>rPgCS2Zc</t>
  </si>
  <si>
    <t>RED_NK_ALL_ALL</t>
  </si>
  <si>
    <t>sngAR3A=</t>
  </si>
  <si>
    <t>RED_REDDRAG_ALL_ALL</t>
  </si>
  <si>
    <t>svgARjA=</t>
  </si>
  <si>
    <t>RED_NSWP_ALL_ALL</t>
  </si>
  <si>
    <t>s/gAQgA=</t>
  </si>
  <si>
    <t>RED_SNK_ALL_ALL</t>
  </si>
  <si>
    <t>XIgAZrA=</t>
  </si>
  <si>
    <t>BLU_ALL_MOTORIZED_ALL</t>
  </si>
  <si>
    <t>BLU_ALL_ARMORED_ALL</t>
  </si>
  <si>
    <t>XJgAR0A=</t>
  </si>
  <si>
    <t>XOgAI5A=</t>
  </si>
  <si>
    <t>BLU_ALL_NAVY_ALL</t>
  </si>
  <si>
    <t>XPAAZrA=</t>
  </si>
  <si>
    <t>BLU_ALL_ALL_80</t>
  </si>
  <si>
    <t>lPgQZshNUzVbqEyJPEJMhbJlKIg6xOxUqZImgqSUPL8qv1WCqVJyXeQlJslBKe1ygZjTalvREZs5J2JUTjpxo5KjFBqmTA==</t>
  </si>
  <si>
    <t>s6hO52FZymYL7ktmXLBlYZ0FdTq9JDdyiBLlIN0D6B9KUlKQDJKkmZdcruRJSkIMi9Zdk2gJBErSX5L4n4T8JqE1Fhy7RgU0eW9QDIHkDwA=</t>
  </si>
  <si>
    <t>jKgKTnecz2VhnsrCwZWFhCsQGIDEDqB1ASgJKZlMymRTIh0XXIfEFi9ZfUwKYFLtF2iw5YcTUJqMhCVjKphtAkXrLspxQ4IcEt6G/Efg</t>
  </si>
  <si>
    <t>sngMi4F5GALym9XWYIukthdU4iomKRfou0rRZhM+lHNoKC1BRb0wMXUMrqIg4AckmiVEK5pXzLpZ0RHHHEwI2A==</t>
  </si>
  <si>
    <t>sogaqYaiU2fcpduTUblGwaidgH1KyUyVk1MpREJSh2KlmpSI2EkRsITSTrJPEnkibsoyiJTERiWzR5qk06JZJVCaVSMjopCazKDmYjUxgkA=</t>
  </si>
  <si>
    <t>jvAcsC8ztNhSWoTtDRfc7i+53F9oaKpXks0gyL1lhxNSTNJmgTQBmAi7Jl4Ss5BMqmZUISTEqKgVIPoCQA==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</si>
</sst>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6"/>
  <sheetViews>
    <sheetView tabSelected="1" workbookViewId="0">
      <selection activeCell="C35" sqref="C35:I36"/>
    </sheetView>
  </sheetViews>
  <sheetFormatPr baseColWidth="10" defaultRowHeight="15" x14ac:dyDescent="0.25"/>
  <cols>
    <col min="1" max="1" width="26.42578125" customWidth="1"/>
  </cols>
  <sheetData>
    <row r="1" spans="1:9" x14ac:dyDescent="0.25">
      <c r="B1" t="s">
        <v>0</v>
      </c>
      <c r="D1" t="s">
        <v>37</v>
      </c>
      <c r="E1" s="2" t="s">
        <v>38</v>
      </c>
      <c r="F1" t="s">
        <v>39</v>
      </c>
      <c r="G1" t="s">
        <v>40</v>
      </c>
      <c r="H1" t="s">
        <v>41</v>
      </c>
      <c r="I1" t="s">
        <v>42</v>
      </c>
    </row>
    <row r="2" spans="1:9" x14ac:dyDescent="0.25">
      <c r="A2" t="s">
        <v>4</v>
      </c>
      <c r="B2" t="s">
        <v>3</v>
      </c>
      <c r="C2" t="str">
        <f t="shared" ref="C2:C36" si="0">Base64DecodeString(B2)</f>
        <v>_x0004_ø</v>
      </c>
      <c r="D2" s="1" t="str">
        <f t="shared" ref="D2:D36" si="1">DEC2BIN(CODE(MID(C2,1,1)),8)</f>
        <v>00000100</v>
      </c>
      <c r="E2" s="1" t="str">
        <f t="shared" ref="E2:E36" si="2">DEC2BIN(CODE(MID(C2,2,1)),8)</f>
        <v>11111000</v>
      </c>
      <c r="F2" s="1" t="str">
        <f t="shared" ref="F2:F36" si="3">MID(D2,2,8) &amp; LEFT(E2,1)</f>
        <v>00001001</v>
      </c>
      <c r="G2" t="str">
        <f>BIN2HEX(F2)</f>
        <v>9</v>
      </c>
      <c r="H2" t="str">
        <f>BIN2HEX((MID(E2,2,3)))</f>
        <v>7</v>
      </c>
      <c r="I2" t="str">
        <f>BIN2HEX((MID(E2,5,2)))</f>
        <v>2</v>
      </c>
    </row>
    <row r="3" spans="1:9" x14ac:dyDescent="0.25">
      <c r="A3" t="s">
        <v>6</v>
      </c>
      <c r="B3" t="s">
        <v>5</v>
      </c>
      <c r="C3" t="str">
        <f t="shared" si="0"/>
        <v>_x000C_ø</v>
      </c>
      <c r="D3" s="1" t="str">
        <f t="shared" si="1"/>
        <v>00001100</v>
      </c>
      <c r="E3" s="1" t="str">
        <f t="shared" si="2"/>
        <v>11111000</v>
      </c>
      <c r="F3" s="1" t="str">
        <f t="shared" si="3"/>
        <v>00011001</v>
      </c>
      <c r="G3" t="str">
        <f t="shared" ref="G3:G19" si="4">BIN2HEX(F3)</f>
        <v>19</v>
      </c>
      <c r="H3" t="str">
        <f t="shared" ref="H3:H19" si="5">BIN2HEX((MID(E3,2,3)))</f>
        <v>7</v>
      </c>
      <c r="I3" t="str">
        <f t="shared" ref="I3:I19" si="6">BIN2HEX((MID(E3,5,2)))</f>
        <v>2</v>
      </c>
    </row>
    <row r="4" spans="1:9" x14ac:dyDescent="0.25">
      <c r="A4" t="s">
        <v>8</v>
      </c>
      <c r="B4" t="s">
        <v>7</v>
      </c>
      <c r="C4" t="str">
        <f t="shared" si="0"/>
        <v>_x0014_ø_x0002_@_x0018_l</v>
      </c>
      <c r="D4" s="1" t="str">
        <f t="shared" si="1"/>
        <v>00010100</v>
      </c>
      <c r="E4" s="1" t="str">
        <f t="shared" si="2"/>
        <v>11111000</v>
      </c>
      <c r="F4" s="1" t="str">
        <f t="shared" si="3"/>
        <v>00101001</v>
      </c>
      <c r="G4" t="str">
        <f t="shared" si="4"/>
        <v>29</v>
      </c>
      <c r="H4" t="str">
        <f t="shared" si="5"/>
        <v>7</v>
      </c>
      <c r="I4" t="str">
        <f t="shared" si="6"/>
        <v>2</v>
      </c>
    </row>
    <row r="5" spans="1:9" x14ac:dyDescent="0.25">
      <c r="A5" t="s">
        <v>10</v>
      </c>
      <c r="B5" t="s">
        <v>9</v>
      </c>
      <c r="C5" t="str">
        <f t="shared" si="0"/>
        <v>_x001C_ø_x0002_ZÖ_x0018_</v>
      </c>
      <c r="D5" s="1" t="str">
        <f t="shared" si="1"/>
        <v>00011100</v>
      </c>
      <c r="E5" s="1" t="str">
        <f t="shared" si="2"/>
        <v>11111000</v>
      </c>
      <c r="F5" s="1" t="str">
        <f t="shared" si="3"/>
        <v>00111001</v>
      </c>
      <c r="G5" t="str">
        <f t="shared" si="4"/>
        <v>39</v>
      </c>
      <c r="H5" t="str">
        <f t="shared" si="5"/>
        <v>7</v>
      </c>
      <c r="I5" t="str">
        <f t="shared" si="6"/>
        <v>2</v>
      </c>
    </row>
    <row r="6" spans="1:9" x14ac:dyDescent="0.25">
      <c r="A6" t="s">
        <v>12</v>
      </c>
      <c r="B6" t="s">
        <v>11</v>
      </c>
      <c r="C6" t="str">
        <f t="shared" si="0"/>
        <v>$ø_x0002_C</v>
      </c>
      <c r="D6" s="1" t="str">
        <f t="shared" si="1"/>
        <v>00100100</v>
      </c>
      <c r="E6" s="1" t="str">
        <f t="shared" si="2"/>
        <v>11111000</v>
      </c>
      <c r="F6" s="1" t="str">
        <f t="shared" si="3"/>
        <v>01001001</v>
      </c>
      <c r="G6" t="str">
        <f t="shared" si="4"/>
        <v>49</v>
      </c>
      <c r="H6" t="str">
        <f t="shared" si="5"/>
        <v>7</v>
      </c>
      <c r="I6" t="str">
        <f t="shared" si="6"/>
        <v>2</v>
      </c>
    </row>
    <row r="7" spans="1:9" x14ac:dyDescent="0.25">
      <c r="A7" t="s">
        <v>14</v>
      </c>
      <c r="B7" t="s">
        <v>13</v>
      </c>
      <c r="C7" t="str">
        <f t="shared" si="0"/>
        <v>,ø</v>
      </c>
      <c r="D7" s="1" t="str">
        <f t="shared" si="1"/>
        <v>00101100</v>
      </c>
      <c r="E7" s="1" t="str">
        <f t="shared" si="2"/>
        <v>11111000</v>
      </c>
      <c r="F7" s="1" t="str">
        <f t="shared" si="3"/>
        <v>01011001</v>
      </c>
      <c r="G7" t="str">
        <f t="shared" si="4"/>
        <v>59</v>
      </c>
      <c r="H7" t="str">
        <f t="shared" si="5"/>
        <v>7</v>
      </c>
      <c r="I7" t="str">
        <f t="shared" si="6"/>
        <v>2</v>
      </c>
    </row>
    <row r="8" spans="1:9" x14ac:dyDescent="0.25">
      <c r="A8" t="s">
        <v>16</v>
      </c>
      <c r="B8" t="s">
        <v>15</v>
      </c>
      <c r="C8" t="str">
        <f t="shared" si="0"/>
        <v>4ø_x0002_q×´</v>
      </c>
      <c r="D8" s="1" t="str">
        <f t="shared" si="1"/>
        <v>00110100</v>
      </c>
      <c r="E8" s="1" t="str">
        <f t="shared" si="2"/>
        <v>11111000</v>
      </c>
      <c r="F8" s="1" t="str">
        <f t="shared" si="3"/>
        <v>01101001</v>
      </c>
      <c r="G8" t="str">
        <f t="shared" si="4"/>
        <v>69</v>
      </c>
      <c r="H8" t="str">
        <f t="shared" si="5"/>
        <v>7</v>
      </c>
      <c r="I8" t="str">
        <f t="shared" si="6"/>
        <v>2</v>
      </c>
    </row>
    <row r="9" spans="1:9" x14ac:dyDescent="0.25">
      <c r="A9" t="s">
        <v>18</v>
      </c>
      <c r="B9" t="s">
        <v>17</v>
      </c>
      <c r="C9" t="str">
        <f t="shared" si="0"/>
        <v>&lt;ø_x0002_qÊ</v>
      </c>
      <c r="D9" s="1" t="str">
        <f t="shared" si="1"/>
        <v>00111100</v>
      </c>
      <c r="E9" s="1" t="str">
        <f t="shared" si="2"/>
        <v>11111000</v>
      </c>
      <c r="F9" s="1" t="str">
        <f t="shared" si="3"/>
        <v>01111001</v>
      </c>
      <c r="G9" t="str">
        <f t="shared" si="4"/>
        <v>79</v>
      </c>
      <c r="H9" t="str">
        <f t="shared" si="5"/>
        <v>7</v>
      </c>
      <c r="I9" t="str">
        <f t="shared" si="6"/>
        <v>2</v>
      </c>
    </row>
    <row r="10" spans="1:9" x14ac:dyDescent="0.25">
      <c r="A10" t="s">
        <v>20</v>
      </c>
      <c r="B10" t="s">
        <v>19</v>
      </c>
      <c r="C10" t="str">
        <f t="shared" si="0"/>
        <v>Dø</v>
      </c>
      <c r="D10" s="1" t="str">
        <f t="shared" si="1"/>
        <v>01000100</v>
      </c>
      <c r="E10" s="1" t="str">
        <f t="shared" si="2"/>
        <v>11111000</v>
      </c>
      <c r="F10" s="1" t="str">
        <f t="shared" si="3"/>
        <v>10001001</v>
      </c>
      <c r="G10" t="str">
        <f t="shared" si="4"/>
        <v>89</v>
      </c>
      <c r="H10" t="str">
        <f t="shared" si="5"/>
        <v>7</v>
      </c>
      <c r="I10" t="str">
        <f t="shared" si="6"/>
        <v>2</v>
      </c>
    </row>
    <row r="11" spans="1:9" x14ac:dyDescent="0.25">
      <c r="A11" t="s">
        <v>22</v>
      </c>
      <c r="B11" t="s">
        <v>21</v>
      </c>
      <c r="C11" t="str">
        <f t="shared" si="0"/>
        <v>Lø</v>
      </c>
      <c r="D11" s="1" t="str">
        <f t="shared" si="1"/>
        <v>01001100</v>
      </c>
      <c r="E11" s="1" t="str">
        <f t="shared" si="2"/>
        <v>11111000</v>
      </c>
      <c r="F11" s="1" t="str">
        <f t="shared" si="3"/>
        <v>10011001</v>
      </c>
      <c r="G11" t="str">
        <f t="shared" si="4"/>
        <v>99</v>
      </c>
      <c r="H11" t="str">
        <f t="shared" si="5"/>
        <v>7</v>
      </c>
      <c r="I11" t="str">
        <f t="shared" si="6"/>
        <v>2</v>
      </c>
    </row>
    <row r="12" spans="1:9" x14ac:dyDescent="0.25">
      <c r="A12" t="s">
        <v>24</v>
      </c>
      <c r="B12" t="s">
        <v>23</v>
      </c>
      <c r="C12" t="str">
        <f t="shared" si="0"/>
        <v>Tø_x0002_[C,</v>
      </c>
      <c r="D12" s="1" t="str">
        <f t="shared" si="1"/>
        <v>01010100</v>
      </c>
      <c r="E12" s="1" t="str">
        <f t="shared" si="2"/>
        <v>11111000</v>
      </c>
      <c r="F12" s="1" t="str">
        <f t="shared" si="3"/>
        <v>10101001</v>
      </c>
      <c r="G12" t="str">
        <f t="shared" si="4"/>
        <v>A9</v>
      </c>
      <c r="H12" t="str">
        <f t="shared" si="5"/>
        <v>7</v>
      </c>
      <c r="I12" t="str">
        <f t="shared" si="6"/>
        <v>2</v>
      </c>
    </row>
    <row r="13" spans="1:9" x14ac:dyDescent="0.25">
      <c r="A13" t="s">
        <v>2</v>
      </c>
      <c r="B13" t="s">
        <v>1</v>
      </c>
      <c r="C13" t="str">
        <f t="shared" si="0"/>
        <v>\ø</v>
      </c>
      <c r="D13" s="1" t="str">
        <f t="shared" si="1"/>
        <v>01011100</v>
      </c>
      <c r="E13" s="1" t="str">
        <f t="shared" si="2"/>
        <v>11111000</v>
      </c>
      <c r="F13" s="1" t="str">
        <f t="shared" si="3"/>
        <v>10111001</v>
      </c>
      <c r="G13" t="str">
        <f t="shared" si="4"/>
        <v>B9</v>
      </c>
      <c r="H13" t="str">
        <f t="shared" si="5"/>
        <v>7</v>
      </c>
      <c r="I13" t="str">
        <f t="shared" si="6"/>
        <v>2</v>
      </c>
    </row>
    <row r="14" spans="1:9" x14ac:dyDescent="0.25">
      <c r="A14" t="s">
        <v>26</v>
      </c>
      <c r="B14" t="s">
        <v>25</v>
      </c>
      <c r="C14" t="str">
        <f t="shared" si="0"/>
        <v>Xx_x0002_@_x0018_P</v>
      </c>
      <c r="D14" s="1" t="str">
        <f t="shared" si="1"/>
        <v>01011000</v>
      </c>
      <c r="E14" s="1" t="str">
        <f t="shared" si="2"/>
        <v>01111000</v>
      </c>
      <c r="F14" s="1" t="str">
        <f t="shared" si="3"/>
        <v>10110000</v>
      </c>
      <c r="G14" t="str">
        <f t="shared" si="4"/>
        <v>B0</v>
      </c>
      <c r="H14" t="str">
        <f t="shared" si="5"/>
        <v>7</v>
      </c>
      <c r="I14" t="str">
        <f t="shared" si="6"/>
        <v>2</v>
      </c>
    </row>
    <row r="15" spans="1:9" x14ac:dyDescent="0.25">
      <c r="A15" t="s">
        <v>28</v>
      </c>
      <c r="B15" t="s">
        <v>27</v>
      </c>
      <c r="C15" t="str">
        <f t="shared" si="0"/>
        <v>Xø_x0002_qÎ`</v>
      </c>
      <c r="D15" s="1" t="str">
        <f t="shared" si="1"/>
        <v>01011000</v>
      </c>
      <c r="E15" s="1" t="str">
        <f t="shared" si="2"/>
        <v>11111000</v>
      </c>
      <c r="F15" s="1" t="str">
        <f t="shared" si="3"/>
        <v>10110001</v>
      </c>
      <c r="G15" t="str">
        <f t="shared" si="4"/>
        <v>B1</v>
      </c>
      <c r="H15" t="str">
        <f t="shared" si="5"/>
        <v>7</v>
      </c>
      <c r="I15" t="str">
        <f t="shared" si="6"/>
        <v>2</v>
      </c>
    </row>
    <row r="16" spans="1:9" x14ac:dyDescent="0.25">
      <c r="A16" t="s">
        <v>30</v>
      </c>
      <c r="B16" t="s">
        <v>29</v>
      </c>
      <c r="C16" t="str">
        <f t="shared" si="0"/>
        <v>Yx</v>
      </c>
      <c r="D16" s="1" t="str">
        <f t="shared" si="1"/>
        <v>01011001</v>
      </c>
      <c r="E16" s="1" t="str">
        <f t="shared" si="2"/>
        <v>01111000</v>
      </c>
      <c r="F16" s="1" t="str">
        <f t="shared" si="3"/>
        <v>10110010</v>
      </c>
      <c r="G16" t="str">
        <f t="shared" si="4"/>
        <v>B2</v>
      </c>
      <c r="H16" t="str">
        <f t="shared" si="5"/>
        <v>7</v>
      </c>
      <c r="I16" t="str">
        <f t="shared" si="6"/>
        <v>2</v>
      </c>
    </row>
    <row r="17" spans="1:9" x14ac:dyDescent="0.25">
      <c r="A17" t="s">
        <v>32</v>
      </c>
      <c r="B17" t="s">
        <v>31</v>
      </c>
      <c r="C17" t="str">
        <f t="shared" si="0"/>
        <v>Yø_x0002_[C,</v>
      </c>
      <c r="D17" s="1" t="str">
        <f t="shared" si="1"/>
        <v>01011001</v>
      </c>
      <c r="E17" s="1" t="str">
        <f t="shared" si="2"/>
        <v>11111000</v>
      </c>
      <c r="F17" s="1" t="str">
        <f t="shared" si="3"/>
        <v>10110011</v>
      </c>
      <c r="G17" t="str">
        <f t="shared" si="4"/>
        <v>B3</v>
      </c>
      <c r="H17" t="str">
        <f t="shared" si="5"/>
        <v>7</v>
      </c>
      <c r="I17" t="str">
        <f t="shared" si="6"/>
        <v>2</v>
      </c>
    </row>
    <row r="18" spans="1:9" x14ac:dyDescent="0.25">
      <c r="A18" t="s">
        <v>34</v>
      </c>
      <c r="B18" t="s">
        <v>33</v>
      </c>
      <c r="C18" t="str">
        <f t="shared" si="0"/>
        <v>[x_x0002_ZÖ_x0018_</v>
      </c>
      <c r="D18" s="1" t="str">
        <f t="shared" si="1"/>
        <v>01011011</v>
      </c>
      <c r="E18" s="1" t="str">
        <f t="shared" si="2"/>
        <v>01111000</v>
      </c>
      <c r="F18" s="1" t="str">
        <f t="shared" si="3"/>
        <v>10110110</v>
      </c>
      <c r="G18" t="str">
        <f t="shared" si="4"/>
        <v>B6</v>
      </c>
      <c r="H18" t="str">
        <f t="shared" si="5"/>
        <v>7</v>
      </c>
      <c r="I18" t="str">
        <f t="shared" si="6"/>
        <v>2</v>
      </c>
    </row>
    <row r="19" spans="1:9" x14ac:dyDescent="0.25">
      <c r="A19" t="s">
        <v>36</v>
      </c>
      <c r="B19" t="s">
        <v>35</v>
      </c>
      <c r="C19" t="str">
        <f t="shared" si="0"/>
        <v>\x_x0002_C</v>
      </c>
      <c r="D19" s="1" t="str">
        <f t="shared" si="1"/>
        <v>01011100</v>
      </c>
      <c r="E19" s="1" t="str">
        <f t="shared" si="2"/>
        <v>01111000</v>
      </c>
      <c r="F19" s="1" t="str">
        <f t="shared" si="3"/>
        <v>10111000</v>
      </c>
      <c r="G19" t="str">
        <f t="shared" si="4"/>
        <v>B8</v>
      </c>
      <c r="H19" t="str">
        <f t="shared" si="5"/>
        <v>7</v>
      </c>
      <c r="I19" t="str">
        <f t="shared" si="6"/>
        <v>2</v>
      </c>
    </row>
    <row r="20" spans="1:9" x14ac:dyDescent="0.25">
      <c r="A20" t="s">
        <v>44</v>
      </c>
      <c r="B20" t="s">
        <v>43</v>
      </c>
      <c r="C20" t="str">
        <f t="shared" si="0"/>
        <v>´ø</v>
      </c>
      <c r="D20" s="1" t="str">
        <f t="shared" si="1"/>
        <v>10110100</v>
      </c>
      <c r="E20" s="1" t="str">
        <f t="shared" si="2"/>
        <v>11111000</v>
      </c>
      <c r="F20" s="1" t="str">
        <f t="shared" si="3"/>
        <v>01101001</v>
      </c>
      <c r="G20" t="str">
        <f t="shared" ref="G20" si="7">BIN2HEX(F20)</f>
        <v>69</v>
      </c>
      <c r="H20" t="str">
        <f t="shared" ref="H20" si="8">BIN2HEX((MID(E20,2,3)))</f>
        <v>7</v>
      </c>
      <c r="I20" t="str">
        <f t="shared" ref="I20" si="9">BIN2HEX((MID(E20,5,2)))</f>
        <v>2</v>
      </c>
    </row>
    <row r="21" spans="1:9" x14ac:dyDescent="0.25">
      <c r="A21" t="s">
        <v>46</v>
      </c>
      <c r="B21" t="s">
        <v>45</v>
      </c>
      <c r="C21" t="str">
        <f t="shared" si="0"/>
        <v>ø</v>
      </c>
      <c r="D21" s="1" t="str">
        <f t="shared" si="1"/>
        <v>10000100</v>
      </c>
      <c r="E21" s="1" t="str">
        <f t="shared" si="2"/>
        <v>11111000</v>
      </c>
      <c r="F21" s="1" t="str">
        <f t="shared" si="3"/>
        <v>00001001</v>
      </c>
      <c r="G21" t="str">
        <f t="shared" ref="G21" si="10">BIN2HEX(F21)</f>
        <v>9</v>
      </c>
      <c r="H21" t="str">
        <f t="shared" ref="H21" si="11">BIN2HEX((MID(E21,2,3)))</f>
        <v>7</v>
      </c>
      <c r="I21" t="str">
        <f t="shared" ref="I21" si="12">BIN2HEX((MID(E21,5,2)))</f>
        <v>2</v>
      </c>
    </row>
    <row r="22" spans="1:9" x14ac:dyDescent="0.25">
      <c r="A22" t="s">
        <v>48</v>
      </c>
      <c r="B22" t="s">
        <v>47</v>
      </c>
      <c r="C22" t="str">
        <f t="shared" si="0"/>
        <v>¬ø_x0002_Kf\</v>
      </c>
      <c r="D22" s="1" t="str">
        <f t="shared" si="1"/>
        <v>10101100</v>
      </c>
      <c r="E22" s="1" t="str">
        <f t="shared" si="2"/>
        <v>11111000</v>
      </c>
      <c r="F22" s="1" t="str">
        <f t="shared" si="3"/>
        <v>01011001</v>
      </c>
      <c r="G22" t="str">
        <f t="shared" ref="G22" si="13">BIN2HEX(F22)</f>
        <v>59</v>
      </c>
      <c r="H22" t="str">
        <f t="shared" ref="H22" si="14">BIN2HEX((MID(E22,2,3)))</f>
        <v>7</v>
      </c>
      <c r="I22" t="str">
        <f t="shared" ref="I22" si="15">BIN2HEX((MID(E22,5,2)))</f>
        <v>2</v>
      </c>
    </row>
    <row r="23" spans="1:9" x14ac:dyDescent="0.25">
      <c r="A23" t="s">
        <v>50</v>
      </c>
      <c r="B23" t="s">
        <v>49</v>
      </c>
      <c r="C23" t="str">
        <f t="shared" si="0"/>
        <v>²x</v>
      </c>
      <c r="D23" s="1" t="str">
        <f t="shared" si="1"/>
        <v>10110010</v>
      </c>
      <c r="E23" s="1" t="str">
        <f t="shared" si="2"/>
        <v>01111000</v>
      </c>
      <c r="F23" s="1" t="str">
        <f t="shared" si="3"/>
        <v>01100100</v>
      </c>
      <c r="G23" t="str">
        <f t="shared" ref="G23" si="16">BIN2HEX(F23)</f>
        <v>64</v>
      </c>
      <c r="H23" t="str">
        <f t="shared" ref="H23" si="17">BIN2HEX((MID(E23,2,3)))</f>
        <v>7</v>
      </c>
      <c r="I23" t="str">
        <f t="shared" ref="I23" si="18">BIN2HEX((MID(E23,5,2)))</f>
        <v>2</v>
      </c>
    </row>
    <row r="24" spans="1:9" x14ac:dyDescent="0.25">
      <c r="A24" t="s">
        <v>52</v>
      </c>
      <c r="B24" t="s">
        <v>51</v>
      </c>
      <c r="C24" t="str">
        <f t="shared" si="0"/>
        <v>²ø</v>
      </c>
      <c r="D24" s="1" t="str">
        <f t="shared" si="1"/>
        <v>10110010</v>
      </c>
      <c r="E24" s="1" t="str">
        <f t="shared" si="2"/>
        <v>11111000</v>
      </c>
      <c r="F24" s="1" t="str">
        <f t="shared" si="3"/>
        <v>01100101</v>
      </c>
      <c r="G24" t="str">
        <f t="shared" ref="G24" si="19">BIN2HEX(F24)</f>
        <v>65</v>
      </c>
      <c r="H24" t="str">
        <f t="shared" ref="H24" si="20">BIN2HEX((MID(E24,2,3)))</f>
        <v>7</v>
      </c>
      <c r="I24" t="str">
        <f t="shared" ref="I24" si="21">BIN2HEX((MID(E24,5,2)))</f>
        <v>2</v>
      </c>
    </row>
    <row r="25" spans="1:9" x14ac:dyDescent="0.25">
      <c r="A25" t="s">
        <v>54</v>
      </c>
      <c r="B25" t="s">
        <v>53</v>
      </c>
      <c r="C25" t="str">
        <f t="shared" si="0"/>
        <v>³ø</v>
      </c>
      <c r="D25" s="1" t="str">
        <f t="shared" si="1"/>
        <v>10110011</v>
      </c>
      <c r="E25" s="1" t="str">
        <f t="shared" si="2"/>
        <v>11111000</v>
      </c>
      <c r="F25" s="1" t="str">
        <f t="shared" si="3"/>
        <v>01100111</v>
      </c>
      <c r="G25" t="str">
        <f t="shared" ref="G25" si="22">BIN2HEX(F25)</f>
        <v>67</v>
      </c>
      <c r="H25" t="str">
        <f t="shared" ref="H25" si="23">BIN2HEX((MID(E25,2,3)))</f>
        <v>7</v>
      </c>
      <c r="I25" t="str">
        <f t="shared" ref="I25" si="24">BIN2HEX((MID(E25,5,2)))</f>
        <v>2</v>
      </c>
    </row>
    <row r="26" spans="1:9" x14ac:dyDescent="0.25">
      <c r="A26" t="s">
        <v>56</v>
      </c>
      <c r="B26" t="s">
        <v>55</v>
      </c>
      <c r="C26" t="str">
        <f t="shared" si="0"/>
        <v>\</v>
      </c>
      <c r="D26" s="1" t="str">
        <f t="shared" si="1"/>
        <v>01011100</v>
      </c>
      <c r="E26" s="1" t="str">
        <f t="shared" si="2"/>
        <v>10001000</v>
      </c>
      <c r="F26" s="1" t="str">
        <f t="shared" si="3"/>
        <v>10111001</v>
      </c>
      <c r="G26" t="str">
        <f t="shared" ref="G26" si="25">BIN2HEX(F26)</f>
        <v>B9</v>
      </c>
      <c r="H26" t="str">
        <f t="shared" ref="H26" si="26">BIN2HEX((MID(E26,2,3)))</f>
        <v>0</v>
      </c>
      <c r="I26" t="str">
        <f t="shared" ref="I26" si="27">BIN2HEX((MID(E26,5,2)))</f>
        <v>2</v>
      </c>
    </row>
    <row r="27" spans="1:9" x14ac:dyDescent="0.25">
      <c r="A27" t="s">
        <v>57</v>
      </c>
      <c r="B27" t="s">
        <v>58</v>
      </c>
      <c r="C27" t="str">
        <f t="shared" si="0"/>
        <v>\</v>
      </c>
      <c r="D27" s="1" t="str">
        <f t="shared" si="1"/>
        <v>01011100</v>
      </c>
      <c r="E27" s="1" t="str">
        <f t="shared" si="2"/>
        <v>10011000</v>
      </c>
      <c r="F27" s="1" t="str">
        <f t="shared" si="3"/>
        <v>10111001</v>
      </c>
      <c r="G27" t="str">
        <f t="shared" ref="G27" si="28">BIN2HEX(F27)</f>
        <v>B9</v>
      </c>
      <c r="H27" t="str">
        <f t="shared" ref="H27" si="29">BIN2HEX((MID(E27,2,3)))</f>
        <v>1</v>
      </c>
      <c r="I27" t="str">
        <f t="shared" ref="I27" si="30">BIN2HEX((MID(E27,5,2)))</f>
        <v>2</v>
      </c>
    </row>
    <row r="28" spans="1:9" x14ac:dyDescent="0.25">
      <c r="A28" t="s">
        <v>60</v>
      </c>
      <c r="B28" t="s">
        <v>59</v>
      </c>
      <c r="C28" t="str">
        <f t="shared" si="0"/>
        <v>\è</v>
      </c>
      <c r="D28" s="1" t="str">
        <f t="shared" si="1"/>
        <v>01011100</v>
      </c>
      <c r="E28" s="1" t="str">
        <f t="shared" si="2"/>
        <v>11101000</v>
      </c>
      <c r="F28" s="1" t="str">
        <f t="shared" si="3"/>
        <v>10111001</v>
      </c>
      <c r="G28" t="str">
        <f t="shared" ref="G28" si="31">BIN2HEX(F28)</f>
        <v>B9</v>
      </c>
      <c r="H28" t="str">
        <f t="shared" ref="H28" si="32">BIN2HEX((MID(E28,2,3)))</f>
        <v>6</v>
      </c>
      <c r="I28" t="str">
        <f t="shared" ref="I28" si="33">BIN2HEX((MID(E28,5,2)))</f>
        <v>2</v>
      </c>
    </row>
    <row r="29" spans="1:9" x14ac:dyDescent="0.25">
      <c r="A29" t="s">
        <v>62</v>
      </c>
      <c r="B29" t="s">
        <v>61</v>
      </c>
      <c r="C29" t="str">
        <f t="shared" si="0"/>
        <v>\ð</v>
      </c>
      <c r="D29" s="1" t="str">
        <f t="shared" si="1"/>
        <v>01011100</v>
      </c>
      <c r="E29" s="1" t="str">
        <f t="shared" si="2"/>
        <v>11110000</v>
      </c>
      <c r="F29" s="1" t="str">
        <f t="shared" si="3"/>
        <v>10111001</v>
      </c>
      <c r="G29" t="str">
        <f t="shared" ref="G29" si="34">BIN2HEX(F29)</f>
        <v>B9</v>
      </c>
      <c r="H29" t="str">
        <f t="shared" ref="H29" si="35">BIN2HEX((MID(E29,2,3)))</f>
        <v>7</v>
      </c>
      <c r="I29" t="str">
        <f t="shared" ref="I29" si="36">BIN2HEX((MID(E29,5,2)))</f>
        <v>0</v>
      </c>
    </row>
    <row r="30" spans="1:9" x14ac:dyDescent="0.25">
      <c r="B30" t="s">
        <v>63</v>
      </c>
      <c r="C30" t="str">
        <f t="shared" si="0"/>
        <v>ø_x0010_fÈMS5[¨L&lt;BL²e(:ÄìT©&amp;¤&lt;¿*¿U©Rr]ä%&amp;ÉA)írÓj[Ñ_x0011_9'bTN:q££_x0014__x001A_¦L</v>
      </c>
      <c r="D30" s="1" t="str">
        <f t="shared" si="1"/>
        <v>10010100</v>
      </c>
      <c r="E30" s="1" t="str">
        <f t="shared" si="2"/>
        <v>11111000</v>
      </c>
      <c r="F30" s="1" t="str">
        <f t="shared" si="3"/>
        <v>00101001</v>
      </c>
      <c r="G30" t="str">
        <f t="shared" ref="G30" si="37">BIN2HEX(F30)</f>
        <v>29</v>
      </c>
      <c r="H30" t="str">
        <f t="shared" ref="H30" si="38">BIN2HEX((MID(E30,2,3)))</f>
        <v>7</v>
      </c>
      <c r="I30" t="str">
        <f t="shared" ref="I30" si="39">BIN2HEX((MID(E30,5,2)))</f>
        <v>2</v>
      </c>
    </row>
    <row r="31" spans="1:9" x14ac:dyDescent="0.25">
      <c r="B31" t="s">
        <v>64</v>
      </c>
      <c r="C31" t="str">
        <f t="shared" si="0"/>
        <v>³¨NçaYÊf_x000B_îKf\°ea_x0005_u:½$7r_x0012_å Ý_x0003_è_x001F_JRR_x000C_¤\®äIJB_x000C_Ö]h	_x0004_JÒ_øü&amp;¡5_x0016__x001C_»F_x0005_4yoP_x000C_ä_x000F_</v>
      </c>
      <c r="D31" s="1" t="str">
        <f t="shared" si="1"/>
        <v>10110011</v>
      </c>
      <c r="E31" s="1" t="str">
        <f t="shared" si="2"/>
        <v>10101000</v>
      </c>
      <c r="F31" s="1" t="str">
        <f t="shared" si="3"/>
        <v>01100111</v>
      </c>
      <c r="G31" t="str">
        <f t="shared" ref="G31" si="40">BIN2HEX(F31)</f>
        <v>67</v>
      </c>
      <c r="H31" t="str">
        <f t="shared" ref="H31" si="41">BIN2HEX((MID(E31,2,3)))</f>
        <v>2</v>
      </c>
      <c r="I31" t="str">
        <f t="shared" ref="I31" si="42">BIN2HEX((MID(E31,5,2)))</f>
        <v>2</v>
      </c>
    </row>
    <row r="32" spans="1:9" x14ac:dyDescent="0.25">
      <c r="B32" t="s">
        <v>65</v>
      </c>
      <c r="C32" t="str">
        <f t="shared" si="0"/>
        <v>¨
NwÏeaÊÂÁ+_x0010__x0018_Ä_x000E_ u_x0001_(	)LÊdS"_x001D__x0017_\Ä_x0016_/Y}L
`Rí_x0017_h°å_x0013_P%c*m_x0002_Eë.ÊqC_x001C__x0012_ÞüGà</v>
      </c>
      <c r="D32" s="1" t="str">
        <f t="shared" si="1"/>
        <v>10001100</v>
      </c>
      <c r="E32" s="1" t="str">
        <f t="shared" si="2"/>
        <v>10101000</v>
      </c>
      <c r="F32" s="1" t="str">
        <f t="shared" si="3"/>
        <v>00011001</v>
      </c>
      <c r="G32" t="str">
        <f t="shared" ref="G32" si="43">BIN2HEX(F32)</f>
        <v>19</v>
      </c>
      <c r="H32" t="str">
        <f t="shared" ref="H32" si="44">BIN2HEX((MID(E32,2,3)))</f>
        <v>2</v>
      </c>
      <c r="I32" t="str">
        <f t="shared" ref="I32" si="45">BIN2HEX((MID(E32,5,2)))</f>
        <v>2</v>
      </c>
    </row>
    <row r="33" spans="2:9" x14ac:dyDescent="0.25">
      <c r="B33" t="s">
        <v>66</v>
      </c>
      <c r="C33" t="str">
        <f t="shared" si="0"/>
        <v>²x_x000C_y_x0018__x0002_òÕÖ`¤¶_x0017_Tâ*&amp;)_x0017_è»JÑf_x0013_&gt;sh(-AE½01u_x000C_®¢ à_x0007_$%D+WÌºYÑ_x0011_Ç_x001C_L_x0008_Ø</v>
      </c>
      <c r="D33" s="1" t="str">
        <f t="shared" si="1"/>
        <v>10110010</v>
      </c>
      <c r="E33" s="1" t="str">
        <f t="shared" si="2"/>
        <v>01111000</v>
      </c>
      <c r="F33" s="1" t="str">
        <f t="shared" si="3"/>
        <v>01100100</v>
      </c>
      <c r="G33" t="str">
        <f t="shared" ref="G33" si="46">BIN2HEX(F33)</f>
        <v>64</v>
      </c>
      <c r="H33" t="str">
        <f t="shared" ref="H33" si="47">BIN2HEX((MID(E33,2,3)))</f>
        <v>7</v>
      </c>
      <c r="I33" t="str">
        <f t="shared" ref="I33" si="48">BIN2HEX((MID(E33,5,2)))</f>
        <v>2</v>
      </c>
    </row>
    <row r="34" spans="2:9" x14ac:dyDescent="0.25">
      <c r="B34" t="s">
        <v>67</v>
      </c>
      <c r="C34" t="str">
        <f t="shared" si="0"/>
        <v>²_x001A_©¢SgÜ¥ÛQ¹FÁ¨}JÉLS)DBRb¥ØI_x0011_°ÒN²O_x0012_y"nÊ2ÄF%³G¤Ó¢Y%PU##¢Ì æb51@</v>
      </c>
      <c r="D34" s="1" t="str">
        <f t="shared" si="1"/>
        <v>10110010</v>
      </c>
      <c r="E34" s="1" t="str">
        <f t="shared" si="2"/>
        <v>10001000</v>
      </c>
      <c r="F34" s="1" t="str">
        <f t="shared" si="3"/>
        <v>01100101</v>
      </c>
      <c r="G34" t="str">
        <f t="shared" ref="G34" si="49">BIN2HEX(F34)</f>
        <v>65</v>
      </c>
      <c r="H34" t="str">
        <f t="shared" ref="H34" si="50">BIN2HEX((MID(E34,2,3)))</f>
        <v>0</v>
      </c>
      <c r="I34" t="str">
        <f t="shared" ref="I34" si="51">BIN2HEX((MID(E34,5,2)))</f>
        <v>2</v>
      </c>
    </row>
    <row r="35" spans="2:9" x14ac:dyDescent="0.25">
      <c r="B35" t="s">
        <v>66</v>
      </c>
      <c r="C35" t="str">
        <f t="shared" si="0"/>
        <v>²x_x000C_y_x0018__x0002_òÕÖ`¤¶_x0017_Tâ*&amp;)_x0017_è»JÑf_x0013_&gt;sh(-AE½01u_x000C_®¢ à_x0007_$%D+WÌºYÑ_x0011_Ç_x001C_L_x0008_Ø</v>
      </c>
      <c r="D35" s="1" t="str">
        <f t="shared" si="1"/>
        <v>10110010</v>
      </c>
      <c r="E35" s="1" t="str">
        <f t="shared" si="2"/>
        <v>01111000</v>
      </c>
      <c r="F35" s="1" t="str">
        <f t="shared" si="3"/>
        <v>01100100</v>
      </c>
      <c r="G35" t="str">
        <f t="shared" ref="G35" si="52">BIN2HEX(F35)</f>
        <v>64</v>
      </c>
      <c r="H35" t="str">
        <f t="shared" ref="H35" si="53">BIN2HEX((MID(E35,2,3)))</f>
        <v>7</v>
      </c>
      <c r="I35" t="str">
        <f t="shared" ref="I35" si="54">BIN2HEX((MID(E35,5,2)))</f>
        <v>2</v>
      </c>
    </row>
    <row r="36" spans="2:9" x14ac:dyDescent="0.25">
      <c r="B36" t="s">
        <v>68</v>
      </c>
      <c r="C36" t="str">
        <f t="shared" si="0"/>
        <v>ð_x001C_°/3´ØRZí_x000D__x0017_Üî/¹Ü_hhªWÍ È½e_x0013_RLÒf4_x0001__x0008_»&amp;^_x0012_³LªfT!$Ä¨¨_x0015_ ú_x0002_@</v>
      </c>
      <c r="D36" s="1" t="str">
        <f t="shared" si="1"/>
        <v>10001110</v>
      </c>
      <c r="E36" s="1" t="str">
        <f t="shared" si="2"/>
        <v>11110000</v>
      </c>
      <c r="F36" s="1" t="str">
        <f t="shared" si="3"/>
        <v>00011101</v>
      </c>
      <c r="G36" t="str">
        <f t="shared" ref="G36" si="55">BIN2HEX(F36)</f>
        <v>1D</v>
      </c>
      <c r="H36" t="str">
        <f t="shared" ref="H36" si="56">BIN2HEX((MID(E36,2,3)))</f>
        <v>7</v>
      </c>
      <c r="I36" t="str">
        <f t="shared" ref="I36" si="57">BIN2HEX((MID(E36,5,2)))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NewVersion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Rémi</dc:creator>
  <cp:lastModifiedBy>Rémi</cp:lastModifiedBy>
  <dcterms:created xsi:type="dcterms:W3CDTF">2014-07-13T04:56:51Z</dcterms:created>
  <dcterms:modified xsi:type="dcterms:W3CDTF">2016-02-18T01:33:59Z</dcterms:modified>
</cp:coreProperties>
</file>